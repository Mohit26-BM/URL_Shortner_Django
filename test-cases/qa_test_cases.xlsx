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bmoh\Downloads\"/>
    </mc:Choice>
  </mc:AlternateContent>
  <xr:revisionPtr revIDLastSave="0" documentId="11_B195534B8EBC5522ACB3D74DA763A546A0BD57BD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Test Cases" sheetId="1" r:id="rId1"/>
    <sheet name="Bug Report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</calcChain>
</file>

<file path=xl/sharedStrings.xml><?xml version="1.0" encoding="utf-8"?>
<sst xmlns="http://schemas.openxmlformats.org/spreadsheetml/2006/main" count="223" uniqueCount="157">
  <si>
    <t>URL Shortener — QA Test Case Sheet</t>
  </si>
  <si>
    <t>Project: URL Shortener (Django + Bitly API)    Tester: Mohit Bali    Environment: Live (Render)</t>
  </si>
  <si>
    <t>Test ID</t>
  </si>
  <si>
    <t>Feature Area</t>
  </si>
  <si>
    <t>Test Title</t>
  </si>
  <si>
    <t>Steps to Execute</t>
  </si>
  <si>
    <t>Expected Result</t>
  </si>
  <si>
    <t>Actual Result</t>
  </si>
  <si>
    <t>Status</t>
  </si>
  <si>
    <t>Severity</t>
  </si>
  <si>
    <t>Bug ID</t>
  </si>
  <si>
    <t>Notes</t>
  </si>
  <si>
    <t>TC_001</t>
  </si>
  <si>
    <t>URL Shortening</t>
  </si>
  <si>
    <t>Valid URL shortens successfully</t>
  </si>
  <si>
    <t>1. Open the app
2. Paste: https://www.google.com/search?q=django+tutorial
3. Click Shorten</t>
  </si>
  <si>
    <t>A valid Bitly shortened link is displayed</t>
  </si>
  <si>
    <t>Shortened URL https://bit.ly/4usQfwR displayed correctly</t>
  </si>
  <si>
    <t>Pass</t>
  </si>
  <si>
    <t>Critical</t>
  </si>
  <si>
    <t>Works correctly</t>
  </si>
  <si>
    <t>TC_002</t>
  </si>
  <si>
    <t>Empty input shows validation error</t>
  </si>
  <si>
    <t>1. Open the app
2. Leave input blank
3. Click Shorten</t>
  </si>
  <si>
    <t>Error message appears — field cannot be empty</t>
  </si>
  <si>
    <t>Error shown: 'Please enter a valid URL starting with http:// or https://'</t>
  </si>
  <si>
    <t>High</t>
  </si>
  <si>
    <t>Good validation message</t>
  </si>
  <si>
    <t>TC_003</t>
  </si>
  <si>
    <t>Invalid URL (plain text) shows error</t>
  </si>
  <si>
    <t>1. Open the app
2. Type: abc
3. Click Shorten</t>
  </si>
  <si>
    <t>Error message appears — invalid URL format</t>
  </si>
  <si>
    <t>Handled correctly</t>
  </si>
  <si>
    <t>TC_004</t>
  </si>
  <si>
    <t>Already-shortened URL gives feedback</t>
  </si>
  <si>
    <t>1. Open the app
2. Paste: https://bit.ly/4usQfwR
3. Click Shorten</t>
  </si>
  <si>
    <t>New shortened link returned OR friendly message shown</t>
  </si>
  <si>
    <t>No output appears — no link, no error, result area stays blank</t>
  </si>
  <si>
    <t>Fail</t>
  </si>
  <si>
    <t>Medium</t>
  </si>
  <si>
    <t>BUG_001</t>
  </si>
  <si>
    <t>Silent failure — no user feedback</t>
  </si>
  <si>
    <t>TC_005</t>
  </si>
  <si>
    <t>Very long URL (1000+ chars) works</t>
  </si>
  <si>
    <t>1. Paste a 1000-character URL
2. Click Shorten</t>
  </si>
  <si>
    <t>Shortens successfully or shows clear error — no crash</t>
  </si>
  <si>
    <t>Shortened URL returned successfully</t>
  </si>
  <si>
    <t>Handled without crashing</t>
  </si>
  <si>
    <t>TC_006</t>
  </si>
  <si>
    <t>Clickable Link</t>
  </si>
  <si>
    <t>Shortened link opens in new tab</t>
  </si>
  <si>
    <t>1. Shorten a valid URL
2. Click the generated link</t>
  </si>
  <si>
    <t>Link opens in a new browser tab</t>
  </si>
  <si>
    <t>Link opens correctly in a new tab</t>
  </si>
  <si>
    <t>TC_007</t>
  </si>
  <si>
    <t>Link redirects to correct destination</t>
  </si>
  <si>
    <t>1. Shorten https://www.wikipedia.org
2. Click the shortened link</t>
  </si>
  <si>
    <t>Browser lands on https://www.wikipedia.org</t>
  </si>
  <si>
    <t>Redirects correctly to https://www.wikipedia.org/</t>
  </si>
  <si>
    <t>TC_008</t>
  </si>
  <si>
    <t>Shortened link is selectable and copyable</t>
  </si>
  <si>
    <t>1. Shorten a valid URL
2. Try to select and right-click copy the link</t>
  </si>
  <si>
    <t>Link is selectable and copies to clipboard</t>
  </si>
  <si>
    <t>Link is copyable via right-click</t>
  </si>
  <si>
    <t>TC_009</t>
  </si>
  <si>
    <t>Reset Button</t>
  </si>
  <si>
    <t>Reset clears the input field</t>
  </si>
  <si>
    <t>1. Type any URL in input
2. Click Reset</t>
  </si>
  <si>
    <t>Input field is cleared</t>
  </si>
  <si>
    <t>Page refreshes and input field is cleared</t>
  </si>
  <si>
    <t>Full page refresh on reset — minor UX note</t>
  </si>
  <si>
    <t>TC_010</t>
  </si>
  <si>
    <t>Reset clears the result link</t>
  </si>
  <si>
    <t>1. Shorten a valid URL
2. Click Reset</t>
  </si>
  <si>
    <t>Shortened result link disappears</t>
  </si>
  <si>
    <t>Shortened URL disappears after reset</t>
  </si>
  <si>
    <t>TC_011</t>
  </si>
  <si>
    <t>Reset before submitting causes no error</t>
  </si>
  <si>
    <t>1. Open the app
2. Click Reset without typing anything</t>
  </si>
  <si>
    <t>No error — form stays in initial state</t>
  </si>
  <si>
    <t>Page refreshes with no error</t>
  </si>
  <si>
    <t>Low</t>
  </si>
  <si>
    <t>TC_012</t>
  </si>
  <si>
    <t>Form Validation</t>
  </si>
  <si>
    <t>Spaces-only input shows error</t>
  </si>
  <si>
    <t>1. Press spacebar 5 times in input
2. Click Shorten</t>
  </si>
  <si>
    <t>Validation error shown — treated as empty</t>
  </si>
  <si>
    <t>Spaces correctly rejected</t>
  </si>
  <si>
    <t>TC_013</t>
  </si>
  <si>
    <t>URL without http:// scheme</t>
  </si>
  <si>
    <t>1. Type: google.com
2. Click Shorten</t>
  </si>
  <si>
    <t>Friendly error shown OR app adds scheme and works</t>
  </si>
  <si>
    <t>App requires scheme explicitly</t>
  </si>
  <si>
    <t>TC_014</t>
  </si>
  <si>
    <t>URL with special characters</t>
  </si>
  <si>
    <t>1. Paste: https://example.com/path?a=1&amp;b=2#section
2. Click Shorten</t>
  </si>
  <si>
    <t>URL shortens successfully</t>
  </si>
  <si>
    <t>Shortened URL returned: https://bit.ly/4bM9BWg</t>
  </si>
  <si>
    <t>Special chars handled correctly</t>
  </si>
  <si>
    <t>TC_015</t>
  </si>
  <si>
    <t>Script tag input (XSS check)</t>
  </si>
  <si>
    <t>1. Paste: &lt;script&gt;alert('xss')&lt;/script&gt;
2. Click Shorten</t>
  </si>
  <si>
    <t>Error shown safely — no popup appears</t>
  </si>
  <si>
    <t>Error shown, no alert triggered</t>
  </si>
  <si>
    <t>XSS safely rejected</t>
  </si>
  <si>
    <t>TC_016</t>
  </si>
  <si>
    <t>Error Handling</t>
  </si>
  <si>
    <t>Error message shown for bad URL</t>
  </si>
  <si>
    <t>1. Type: not_a_url!!
2. Click Shorten</t>
  </si>
  <si>
    <t>A user-friendly error message is displayed</t>
  </si>
  <si>
    <t>TC_017</t>
  </si>
  <si>
    <t>Error message is user-friendly</t>
  </si>
  <si>
    <t>1. Trigger an error (TC_016)
2. Read the error message</t>
  </si>
  <si>
    <t>Readable English — not a Python traceback or 500 error</t>
  </si>
  <si>
    <t>Message is clear and user-friendly, no traceback shown</t>
  </si>
  <si>
    <t>TC_018</t>
  </si>
  <si>
    <t>App does not crash on invalid input</t>
  </si>
  <si>
    <t>1. Try several invalid inputs back-to-back
2. Observe page behaviour</t>
  </si>
  <si>
    <t>Page stays functional — no 500 server error</t>
  </si>
  <si>
    <t>Page stays functional, consistent error shown each time</t>
  </si>
  <si>
    <t>TC_019</t>
  </si>
  <si>
    <t>Responsive UI</t>
  </si>
  <si>
    <t>Layout works on mobile (375px)</t>
  </si>
  <si>
    <t>1. Open DevTools (F12)
2. Set width to 375px
3. Use the app</t>
  </si>
  <si>
    <t>Form and result fully visible — no horizontal scroll</t>
  </si>
  <si>
    <t>All elements visible with no scroll</t>
  </si>
  <si>
    <t>TC_020</t>
  </si>
  <si>
    <t>Layout works on tablet (768px)</t>
  </si>
  <si>
    <t>1. Open DevTools
2. Set width to 768px
3. Use the app</t>
  </si>
  <si>
    <t>Layout readable and usable at tablet size</t>
  </si>
  <si>
    <t>Works fine at 768px</t>
  </si>
  <si>
    <t>TC_021</t>
  </si>
  <si>
    <t>Works on Chrome, Firefox, and Edge</t>
  </si>
  <si>
    <t>1. Open app in Chrome
2. Repeat in Firefox
3. Repeat in Edge</t>
  </si>
  <si>
    <t>App functions identically in all three browsers</t>
  </si>
  <si>
    <t>Chrome and Edge fine. Firefox: h1 text renders slightly brighter</t>
  </si>
  <si>
    <t>BUG_002</t>
  </si>
  <si>
    <t>Minor cross-browser CSS rendering difference</t>
  </si>
  <si>
    <t>Bug Report Log</t>
  </si>
  <si>
    <t>Related TC</t>
  </si>
  <si>
    <t>Title</t>
  </si>
  <si>
    <t>Steps to Reproduce</t>
  </si>
  <si>
    <t>Expected</t>
  </si>
  <si>
    <t>Actual</t>
  </si>
  <si>
    <t>No feedback when an already-shortened URL is entered</t>
  </si>
  <si>
    <t>New link returned OR message: 'This URL is already shortened'</t>
  </si>
  <si>
    <t>No output — no link, no error, result area stays blank</t>
  </si>
  <si>
    <t>Open</t>
  </si>
  <si>
    <t>H1 heading renders brighter in Firefox than Chrome/Edge</t>
  </si>
  <si>
    <t>1. Open app in Chrome — note h1 colour
2. Open in Firefox
3. Compare</t>
  </si>
  <si>
    <t>H1 colour consistent across all browsers</t>
  </si>
  <si>
    <t>H1 appears brighter in Firefox — likely a CSS rendering difference</t>
  </si>
  <si>
    <t>Test Execution Summary</t>
  </si>
  <si>
    <t>Total Test Cases</t>
  </si>
  <si>
    <t>Passed</t>
  </si>
  <si>
    <t>Failed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</si>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</sst>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i/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name val="Arial"/>
    </font>
    <font>
      <b/>
      <sz val="10"/>
      <color rgb="FF276221"/>
      <name val="Arial"/>
    </font>
    <font>
      <b/>
      <sz val="10"/>
      <color rgb="FF9C0006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pane ySplit="3" topLeftCell="A19" activePane="bottomLeft" state="frozen"/>
      <selection pane="bottomLeft" activeCell="E5" sqref="E5"/>
    </sheetView>
  </sheetViews>
  <sheetFormatPr defaultRowHeight="14.4" x14ac:dyDescent="0.3"/>
  <cols>
    <col min="1" max="1" width="10" customWidth="1"/>
    <col min="2" max="2" width="18" customWidth="1"/>
    <col min="3" max="3" width="28" customWidth="1"/>
    <col min="4" max="4" width="50" customWidth="1"/>
    <col min="5" max="6" width="36" customWidth="1"/>
    <col min="7" max="9" width="10" customWidth="1"/>
    <col min="10" max="10" width="28" customWidth="1"/>
  </cols>
  <sheetData>
    <row r="1" spans="1:10" ht="28.0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6.05" customHeight="1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9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70.05" customHeight="1" x14ac:dyDescent="0.3">
      <c r="A4" s="2" t="s">
        <v>12</v>
      </c>
      <c r="B4" s="3" t="s">
        <v>13</v>
      </c>
      <c r="C4" s="4" t="s">
        <v>14</v>
      </c>
      <c r="D4" s="3" t="s">
        <v>15</v>
      </c>
      <c r="E4" s="3" t="s">
        <v>16</v>
      </c>
      <c r="F4" s="3" t="s">
        <v>17</v>
      </c>
      <c r="G4" s="5" t="s">
        <v>18</v>
      </c>
      <c r="H4" s="3" t="s">
        <v>19</v>
      </c>
      <c r="I4" s="3"/>
      <c r="J4" s="3" t="s">
        <v>20</v>
      </c>
    </row>
    <row r="5" spans="1:10" ht="70.05" customHeight="1" x14ac:dyDescent="0.3">
      <c r="A5" s="2" t="s">
        <v>21</v>
      </c>
      <c r="B5" s="3" t="s">
        <v>13</v>
      </c>
      <c r="C5" s="4" t="s">
        <v>22</v>
      </c>
      <c r="D5" s="3" t="s">
        <v>23</v>
      </c>
      <c r="E5" s="3" t="s">
        <v>24</v>
      </c>
      <c r="F5" s="3" t="s">
        <v>25</v>
      </c>
      <c r="G5" s="5" t="s">
        <v>18</v>
      </c>
      <c r="H5" s="3" t="s">
        <v>26</v>
      </c>
      <c r="I5" s="3"/>
      <c r="J5" s="3" t="s">
        <v>27</v>
      </c>
    </row>
    <row r="6" spans="1:10" ht="70.05" customHeight="1" x14ac:dyDescent="0.3">
      <c r="A6" s="2" t="s">
        <v>28</v>
      </c>
      <c r="B6" s="3" t="s">
        <v>13</v>
      </c>
      <c r="C6" s="4" t="s">
        <v>29</v>
      </c>
      <c r="D6" s="3" t="s">
        <v>30</v>
      </c>
      <c r="E6" s="3" t="s">
        <v>31</v>
      </c>
      <c r="F6" s="3" t="s">
        <v>25</v>
      </c>
      <c r="G6" s="5" t="s">
        <v>18</v>
      </c>
      <c r="H6" s="3" t="s">
        <v>26</v>
      </c>
      <c r="I6" s="3"/>
      <c r="J6" s="3" t="s">
        <v>32</v>
      </c>
    </row>
    <row r="7" spans="1:10" ht="70.05" customHeight="1" x14ac:dyDescent="0.3">
      <c r="A7" s="2" t="s">
        <v>33</v>
      </c>
      <c r="B7" s="3" t="s">
        <v>13</v>
      </c>
      <c r="C7" s="4" t="s">
        <v>34</v>
      </c>
      <c r="D7" s="3" t="s">
        <v>35</v>
      </c>
      <c r="E7" s="3" t="s">
        <v>36</v>
      </c>
      <c r="F7" s="3" t="s">
        <v>37</v>
      </c>
      <c r="G7" s="6" t="s">
        <v>38</v>
      </c>
      <c r="H7" s="3" t="s">
        <v>39</v>
      </c>
      <c r="I7" s="7" t="s">
        <v>40</v>
      </c>
      <c r="J7" s="3" t="s">
        <v>41</v>
      </c>
    </row>
    <row r="8" spans="1:10" ht="70.05" customHeight="1" x14ac:dyDescent="0.3">
      <c r="A8" s="2" t="s">
        <v>42</v>
      </c>
      <c r="B8" s="3" t="s">
        <v>13</v>
      </c>
      <c r="C8" s="4" t="s">
        <v>43</v>
      </c>
      <c r="D8" s="3" t="s">
        <v>44</v>
      </c>
      <c r="E8" s="3" t="s">
        <v>45</v>
      </c>
      <c r="F8" s="3" t="s">
        <v>46</v>
      </c>
      <c r="G8" s="5" t="s">
        <v>18</v>
      </c>
      <c r="H8" s="3" t="s">
        <v>39</v>
      </c>
      <c r="I8" s="3"/>
      <c r="J8" s="3" t="s">
        <v>47</v>
      </c>
    </row>
    <row r="9" spans="1:10" ht="70.05" customHeight="1" x14ac:dyDescent="0.3">
      <c r="A9" s="2" t="s">
        <v>48</v>
      </c>
      <c r="B9" s="3" t="s">
        <v>49</v>
      </c>
      <c r="C9" s="4" t="s">
        <v>50</v>
      </c>
      <c r="D9" s="3" t="s">
        <v>51</v>
      </c>
      <c r="E9" s="3" t="s">
        <v>52</v>
      </c>
      <c r="F9" s="3" t="s">
        <v>53</v>
      </c>
      <c r="G9" s="5" t="s">
        <v>18</v>
      </c>
      <c r="H9" s="3" t="s">
        <v>26</v>
      </c>
      <c r="I9" s="3"/>
      <c r="J9" s="3"/>
    </row>
    <row r="10" spans="1:10" ht="70.05" customHeight="1" x14ac:dyDescent="0.3">
      <c r="A10" s="2" t="s">
        <v>54</v>
      </c>
      <c r="B10" s="3" t="s">
        <v>49</v>
      </c>
      <c r="C10" s="4" t="s">
        <v>55</v>
      </c>
      <c r="D10" s="3" t="s">
        <v>56</v>
      </c>
      <c r="E10" s="3" t="s">
        <v>57</v>
      </c>
      <c r="F10" s="3" t="s">
        <v>58</v>
      </c>
      <c r="G10" s="5" t="s">
        <v>18</v>
      </c>
      <c r="H10" s="3" t="s">
        <v>19</v>
      </c>
      <c r="I10" s="3"/>
      <c r="J10" s="3"/>
    </row>
    <row r="11" spans="1:10" ht="70.05" customHeight="1" x14ac:dyDescent="0.3">
      <c r="A11" s="2" t="s">
        <v>59</v>
      </c>
      <c r="B11" s="3" t="s">
        <v>49</v>
      </c>
      <c r="C11" s="4" t="s">
        <v>60</v>
      </c>
      <c r="D11" s="3" t="s">
        <v>61</v>
      </c>
      <c r="E11" s="3" t="s">
        <v>62</v>
      </c>
      <c r="F11" s="3" t="s">
        <v>63</v>
      </c>
      <c r="G11" s="5" t="s">
        <v>18</v>
      </c>
      <c r="H11" s="3" t="s">
        <v>39</v>
      </c>
      <c r="I11" s="3"/>
      <c r="J11" s="3"/>
    </row>
    <row r="12" spans="1:10" ht="70.05" customHeight="1" x14ac:dyDescent="0.3">
      <c r="A12" s="2" t="s">
        <v>64</v>
      </c>
      <c r="B12" s="3" t="s">
        <v>65</v>
      </c>
      <c r="C12" s="4" t="s">
        <v>66</v>
      </c>
      <c r="D12" s="3" t="s">
        <v>67</v>
      </c>
      <c r="E12" s="3" t="s">
        <v>68</v>
      </c>
      <c r="F12" s="3" t="s">
        <v>69</v>
      </c>
      <c r="G12" s="5" t="s">
        <v>18</v>
      </c>
      <c r="H12" s="3" t="s">
        <v>39</v>
      </c>
      <c r="I12" s="3"/>
      <c r="J12" s="3" t="s">
        <v>70</v>
      </c>
    </row>
    <row r="13" spans="1:10" ht="70.05" customHeight="1" x14ac:dyDescent="0.3">
      <c r="A13" s="2" t="s">
        <v>71</v>
      </c>
      <c r="B13" s="3" t="s">
        <v>65</v>
      </c>
      <c r="C13" s="4" t="s">
        <v>72</v>
      </c>
      <c r="D13" s="3" t="s">
        <v>73</v>
      </c>
      <c r="E13" s="3" t="s">
        <v>74</v>
      </c>
      <c r="F13" s="3" t="s">
        <v>75</v>
      </c>
      <c r="G13" s="5" t="s">
        <v>18</v>
      </c>
      <c r="H13" s="3" t="s">
        <v>39</v>
      </c>
      <c r="I13" s="3"/>
      <c r="J13" s="3"/>
    </row>
    <row r="14" spans="1:10" ht="70.05" customHeight="1" x14ac:dyDescent="0.3">
      <c r="A14" s="2" t="s">
        <v>76</v>
      </c>
      <c r="B14" s="3" t="s">
        <v>65</v>
      </c>
      <c r="C14" s="4" t="s">
        <v>77</v>
      </c>
      <c r="D14" s="3" t="s">
        <v>78</v>
      </c>
      <c r="E14" s="3" t="s">
        <v>79</v>
      </c>
      <c r="F14" s="3" t="s">
        <v>80</v>
      </c>
      <c r="G14" s="5" t="s">
        <v>18</v>
      </c>
      <c r="H14" s="3" t="s">
        <v>81</v>
      </c>
      <c r="I14" s="3"/>
      <c r="J14" s="3"/>
    </row>
    <row r="15" spans="1:10" ht="70.05" customHeight="1" x14ac:dyDescent="0.3">
      <c r="A15" s="2" t="s">
        <v>82</v>
      </c>
      <c r="B15" s="3" t="s">
        <v>83</v>
      </c>
      <c r="C15" s="4" t="s">
        <v>84</v>
      </c>
      <c r="D15" s="3" t="s">
        <v>85</v>
      </c>
      <c r="E15" s="3" t="s">
        <v>86</v>
      </c>
      <c r="F15" s="3" t="s">
        <v>25</v>
      </c>
      <c r="G15" s="5" t="s">
        <v>18</v>
      </c>
      <c r="H15" s="3" t="s">
        <v>26</v>
      </c>
      <c r="I15" s="3"/>
      <c r="J15" s="3" t="s">
        <v>87</v>
      </c>
    </row>
    <row r="16" spans="1:10" ht="70.05" customHeight="1" x14ac:dyDescent="0.3">
      <c r="A16" s="2" t="s">
        <v>88</v>
      </c>
      <c r="B16" s="3" t="s">
        <v>83</v>
      </c>
      <c r="C16" s="4" t="s">
        <v>89</v>
      </c>
      <c r="D16" s="3" t="s">
        <v>90</v>
      </c>
      <c r="E16" s="3" t="s">
        <v>91</v>
      </c>
      <c r="F16" s="3" t="s">
        <v>25</v>
      </c>
      <c r="G16" s="5" t="s">
        <v>18</v>
      </c>
      <c r="H16" s="3" t="s">
        <v>39</v>
      </c>
      <c r="I16" s="3"/>
      <c r="J16" s="3" t="s">
        <v>92</v>
      </c>
    </row>
    <row r="17" spans="1:10" ht="70.05" customHeight="1" x14ac:dyDescent="0.3">
      <c r="A17" s="2" t="s">
        <v>93</v>
      </c>
      <c r="B17" s="3" t="s">
        <v>83</v>
      </c>
      <c r="C17" s="4" t="s">
        <v>94</v>
      </c>
      <c r="D17" s="3" t="s">
        <v>95</v>
      </c>
      <c r="E17" s="3" t="s">
        <v>96</v>
      </c>
      <c r="F17" s="3" t="s">
        <v>97</v>
      </c>
      <c r="G17" s="5" t="s">
        <v>18</v>
      </c>
      <c r="H17" s="3" t="s">
        <v>39</v>
      </c>
      <c r="I17" s="3"/>
      <c r="J17" s="3" t="s">
        <v>98</v>
      </c>
    </row>
    <row r="18" spans="1:10" ht="70.05" customHeight="1" x14ac:dyDescent="0.3">
      <c r="A18" s="2" t="s">
        <v>99</v>
      </c>
      <c r="B18" s="3" t="s">
        <v>83</v>
      </c>
      <c r="C18" s="4" t="s">
        <v>100</v>
      </c>
      <c r="D18" s="3" t="s">
        <v>101</v>
      </c>
      <c r="E18" s="3" t="s">
        <v>102</v>
      </c>
      <c r="F18" s="3" t="s">
        <v>103</v>
      </c>
      <c r="G18" s="5" t="s">
        <v>18</v>
      </c>
      <c r="H18" s="3" t="s">
        <v>26</v>
      </c>
      <c r="I18" s="3"/>
      <c r="J18" s="3" t="s">
        <v>104</v>
      </c>
    </row>
    <row r="19" spans="1:10" ht="70.05" customHeight="1" x14ac:dyDescent="0.3">
      <c r="A19" s="2" t="s">
        <v>105</v>
      </c>
      <c r="B19" s="3" t="s">
        <v>106</v>
      </c>
      <c r="C19" s="4" t="s">
        <v>107</v>
      </c>
      <c r="D19" s="3" t="s">
        <v>108</v>
      </c>
      <c r="E19" s="3" t="s">
        <v>109</v>
      </c>
      <c r="F19" s="3" t="s">
        <v>25</v>
      </c>
      <c r="G19" s="5" t="s">
        <v>18</v>
      </c>
      <c r="H19" s="3" t="s">
        <v>26</v>
      </c>
      <c r="I19" s="3"/>
      <c r="J19" s="3"/>
    </row>
    <row r="20" spans="1:10" ht="70.05" customHeight="1" x14ac:dyDescent="0.3">
      <c r="A20" s="2" t="s">
        <v>110</v>
      </c>
      <c r="B20" s="3" t="s">
        <v>106</v>
      </c>
      <c r="C20" s="4" t="s">
        <v>111</v>
      </c>
      <c r="D20" s="3" t="s">
        <v>112</v>
      </c>
      <c r="E20" s="3" t="s">
        <v>113</v>
      </c>
      <c r="F20" s="3" t="s">
        <v>114</v>
      </c>
      <c r="G20" s="5" t="s">
        <v>18</v>
      </c>
      <c r="H20" s="3" t="s">
        <v>39</v>
      </c>
      <c r="I20" s="3"/>
      <c r="J20" s="3"/>
    </row>
    <row r="21" spans="1:10" ht="70.05" customHeight="1" x14ac:dyDescent="0.3">
      <c r="A21" s="2" t="s">
        <v>115</v>
      </c>
      <c r="B21" s="3" t="s">
        <v>106</v>
      </c>
      <c r="C21" s="4" t="s">
        <v>116</v>
      </c>
      <c r="D21" s="3" t="s">
        <v>117</v>
      </c>
      <c r="E21" s="3" t="s">
        <v>118</v>
      </c>
      <c r="F21" s="3" t="s">
        <v>119</v>
      </c>
      <c r="G21" s="5" t="s">
        <v>18</v>
      </c>
      <c r="H21" s="3" t="s">
        <v>19</v>
      </c>
      <c r="I21" s="3"/>
      <c r="J21" s="3"/>
    </row>
    <row r="22" spans="1:10" ht="70.05" customHeight="1" x14ac:dyDescent="0.3">
      <c r="A22" s="2" t="s">
        <v>120</v>
      </c>
      <c r="B22" s="3" t="s">
        <v>121</v>
      </c>
      <c r="C22" s="4" t="s">
        <v>122</v>
      </c>
      <c r="D22" s="3" t="s">
        <v>123</v>
      </c>
      <c r="E22" s="3" t="s">
        <v>124</v>
      </c>
      <c r="F22" s="3" t="s">
        <v>125</v>
      </c>
      <c r="G22" s="5" t="s">
        <v>18</v>
      </c>
      <c r="H22" s="3" t="s">
        <v>39</v>
      </c>
      <c r="I22" s="3"/>
      <c r="J22" s="3"/>
    </row>
    <row r="23" spans="1:10" ht="70.05" customHeight="1" x14ac:dyDescent="0.3">
      <c r="A23" s="2" t="s">
        <v>126</v>
      </c>
      <c r="B23" s="3" t="s">
        <v>121</v>
      </c>
      <c r="C23" s="4" t="s">
        <v>127</v>
      </c>
      <c r="D23" s="3" t="s">
        <v>128</v>
      </c>
      <c r="E23" s="3" t="s">
        <v>129</v>
      </c>
      <c r="F23" s="3" t="s">
        <v>130</v>
      </c>
      <c r="G23" s="5" t="s">
        <v>18</v>
      </c>
      <c r="H23" s="3" t="s">
        <v>81</v>
      </c>
      <c r="I23" s="3"/>
      <c r="J23" s="3"/>
    </row>
    <row r="24" spans="1:10" ht="70.05" customHeight="1" x14ac:dyDescent="0.3">
      <c r="A24" s="2" t="s">
        <v>131</v>
      </c>
      <c r="B24" s="3" t="s">
        <v>121</v>
      </c>
      <c r="C24" s="4" t="s">
        <v>132</v>
      </c>
      <c r="D24" s="3" t="s">
        <v>133</v>
      </c>
      <c r="E24" s="3" t="s">
        <v>134</v>
      </c>
      <c r="F24" s="3" t="s">
        <v>135</v>
      </c>
      <c r="G24" s="6" t="s">
        <v>38</v>
      </c>
      <c r="H24" s="3" t="s">
        <v>81</v>
      </c>
      <c r="I24" s="7" t="s">
        <v>136</v>
      </c>
      <c r="J24" s="3" t="s">
        <v>137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34" customWidth="1"/>
    <col min="4" max="4" width="50" customWidth="1"/>
    <col min="5" max="6" width="34" customWidth="1"/>
    <col min="7" max="8" width="12" customWidth="1"/>
  </cols>
  <sheetData>
    <row r="1" spans="1:8" ht="28.05" customHeight="1" x14ac:dyDescent="0.3">
      <c r="A1" s="12" t="s">
        <v>138</v>
      </c>
      <c r="B1" s="13"/>
      <c r="C1" s="13"/>
      <c r="D1" s="13"/>
      <c r="E1" s="13"/>
      <c r="F1" s="13"/>
      <c r="G1" s="13"/>
      <c r="H1" s="13"/>
    </row>
    <row r="2" spans="1:8" ht="19.95" customHeight="1" x14ac:dyDescent="0.3">
      <c r="A2" s="1" t="s">
        <v>10</v>
      </c>
      <c r="B2" s="1" t="s">
        <v>139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9</v>
      </c>
      <c r="H2" s="1" t="s">
        <v>8</v>
      </c>
    </row>
    <row r="3" spans="1:8" ht="75" customHeight="1" x14ac:dyDescent="0.3">
      <c r="A3" s="8" t="s">
        <v>40</v>
      </c>
      <c r="B3" s="9" t="s">
        <v>33</v>
      </c>
      <c r="C3" s="3" t="s">
        <v>144</v>
      </c>
      <c r="D3" s="3" t="s">
        <v>35</v>
      </c>
      <c r="E3" s="3" t="s">
        <v>145</v>
      </c>
      <c r="F3" s="3" t="s">
        <v>146</v>
      </c>
      <c r="G3" s="3" t="s">
        <v>39</v>
      </c>
      <c r="H3" s="3" t="s">
        <v>147</v>
      </c>
    </row>
    <row r="4" spans="1:8" ht="75" customHeight="1" x14ac:dyDescent="0.3">
      <c r="A4" s="8" t="s">
        <v>136</v>
      </c>
      <c r="B4" s="9" t="s">
        <v>131</v>
      </c>
      <c r="C4" s="3" t="s">
        <v>148</v>
      </c>
      <c r="D4" s="3" t="s">
        <v>149</v>
      </c>
      <c r="E4" s="3" t="s">
        <v>150</v>
      </c>
      <c r="F4" s="3" t="s">
        <v>151</v>
      </c>
      <c r="G4" s="3" t="s">
        <v>81</v>
      </c>
      <c r="H4" s="3" t="s">
        <v>147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1" max="1" width="22" customWidth="1"/>
    <col min="2" max="2" width="14" customWidth="1"/>
  </cols>
  <sheetData>
    <row r="1" spans="1:2" ht="28.05" customHeight="1" x14ac:dyDescent="0.3">
      <c r="A1" s="12" t="s">
        <v>152</v>
      </c>
      <c r="B1" s="13"/>
    </row>
    <row r="2" spans="1:2" ht="24" customHeight="1" x14ac:dyDescent="0.3">
      <c r="A2" s="10" t="s">
        <v>153</v>
      </c>
      <c r="B2" s="1">
        <f>COUNTA('Test Cases'!A4:A24)</f>
        <v>21</v>
      </c>
    </row>
    <row r="3" spans="1:2" ht="24" customHeight="1" x14ac:dyDescent="0.3">
      <c r="A3" s="10" t="s">
        <v>154</v>
      </c>
      <c r="B3" s="1">
        <f>COUNTIF('Test Cases'!G4:G24,"Pass")</f>
        <v>19</v>
      </c>
    </row>
    <row r="4" spans="1:2" ht="24" customHeight="1" x14ac:dyDescent="0.3">
      <c r="A4" s="10" t="s">
        <v>155</v>
      </c>
      <c r="B4" s="1">
        <f>COUNTIF('Test Cases'!G4:G24,"Fail")</f>
        <v>2</v>
      </c>
    </row>
    <row r="5" spans="1:2" ht="24" customHeight="1" x14ac:dyDescent="0.3">
      <c r="A5" s="10" t="s">
        <v>156</v>
      </c>
      <c r="B5" s="11">
        <f>IFERROR(COUNTIF('Test Cases'!G4:G24,"Pass")/COUNTA('Test Cases'!A4:A24),0)</f>
        <v>0.90476190476190477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Bali</cp:lastModifiedBy>
  <dcterms:created xsi:type="dcterms:W3CDTF">2026-03-16T17:54:12Z</dcterms:created>
  <dcterms:modified xsi:type="dcterms:W3CDTF">2026-03-16T17:58:34Z</dcterms:modified>
</cp:coreProperties>
</file>